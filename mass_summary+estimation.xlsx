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mengmeng/Library/CloudStorage/Box-Box/WhitmanLab/Projects/Repeated_Fire/mass/"/>
    </mc:Choice>
  </mc:AlternateContent>
  <xr:revisionPtr revIDLastSave="0" documentId="13_ncr:1_{19D19F35-2A9D-104C-9E54-9C5C906590B0}" xr6:coauthVersionLast="47" xr6:coauthVersionMax="47" xr10:uidLastSave="{00000000-0000-0000-0000-000000000000}"/>
  <bookViews>
    <workbookView xWindow="700" yWindow="880" windowWidth="26340" windowHeight="15380" xr2:uid="{CA46AC34-6F21-3B4D-B838-4BF86985FA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3" i="1"/>
  <c r="F44" i="1"/>
  <c r="F45" i="1"/>
  <c r="F46" i="1"/>
  <c r="F32" i="1"/>
  <c r="F33" i="1"/>
  <c r="F34" i="1"/>
  <c r="F35" i="1"/>
  <c r="F36" i="1"/>
  <c r="F37" i="1"/>
  <c r="F38" i="1"/>
  <c r="F39" i="1"/>
  <c r="F40" i="1"/>
  <c r="F41" i="1"/>
  <c r="E28" i="1"/>
  <c r="F28" i="1" s="1"/>
  <c r="E29" i="1"/>
  <c r="F29" i="1" s="1"/>
  <c r="E30" i="1"/>
  <c r="F30" i="1" s="1"/>
  <c r="E31" i="1"/>
  <c r="F31" i="1" s="1"/>
  <c r="E27" i="1"/>
  <c r="F27" i="1" s="1"/>
  <c r="E23" i="1"/>
  <c r="F23" i="1" s="1"/>
  <c r="E24" i="1"/>
  <c r="F24" i="1" s="1"/>
  <c r="E25" i="1"/>
  <c r="F25" i="1" s="1"/>
  <c r="E26" i="1"/>
  <c r="F26" i="1" s="1"/>
  <c r="E22" i="1"/>
  <c r="F22" i="1" s="1"/>
  <c r="E18" i="1"/>
  <c r="F18" i="1" s="1"/>
  <c r="E19" i="1"/>
  <c r="F19" i="1" s="1"/>
  <c r="E20" i="1"/>
  <c r="F20" i="1" s="1"/>
  <c r="E21" i="1"/>
  <c r="F21" i="1" s="1"/>
  <c r="E17" i="1"/>
  <c r="F17" i="1" s="1"/>
  <c r="E13" i="1"/>
  <c r="F13" i="1" s="1"/>
  <c r="E14" i="1"/>
  <c r="F14" i="1" s="1"/>
  <c r="E15" i="1"/>
  <c r="F15" i="1" s="1"/>
  <c r="E16" i="1"/>
  <c r="F16" i="1" s="1"/>
  <c r="E12" i="1"/>
  <c r="F12" i="1" s="1"/>
  <c r="E8" i="1"/>
  <c r="F8" i="1" s="1"/>
  <c r="E9" i="1"/>
  <c r="F9" i="1" s="1"/>
  <c r="E10" i="1"/>
  <c r="F10" i="1" s="1"/>
  <c r="E11" i="1"/>
  <c r="F11" i="1" s="1"/>
  <c r="E7" i="1"/>
  <c r="F7" i="1" s="1"/>
  <c r="E3" i="1"/>
  <c r="F3" i="1" s="1"/>
  <c r="E4" i="1"/>
  <c r="F4" i="1" s="1"/>
  <c r="E5" i="1"/>
  <c r="F5" i="1" s="1"/>
  <c r="E6" i="1"/>
  <c r="F6" i="1" s="1"/>
  <c r="E2" i="1"/>
  <c r="F2" i="1" s="1"/>
</calcChain>
</file>

<file path=xl/sharedStrings.xml><?xml version="1.0" encoding="utf-8"?>
<sst xmlns="http://schemas.openxmlformats.org/spreadsheetml/2006/main" count="133" uniqueCount="23">
  <si>
    <t>Sample ID</t>
  </si>
  <si>
    <t>Heat Flux</t>
  </si>
  <si>
    <t>Depth</t>
  </si>
  <si>
    <t>high</t>
  </si>
  <si>
    <t>surface</t>
  </si>
  <si>
    <t>1 cm</t>
  </si>
  <si>
    <t>5 cm</t>
  </si>
  <si>
    <t>low</t>
  </si>
  <si>
    <t>control</t>
  </si>
  <si>
    <t>Orignial Mass</t>
  </si>
  <si>
    <t>Mass Loss</t>
  </si>
  <si>
    <t>Mass Loss in %</t>
  </si>
  <si>
    <t>High</t>
  </si>
  <si>
    <t>Surface</t>
  </si>
  <si>
    <t>1cm</t>
  </si>
  <si>
    <t>5cm</t>
  </si>
  <si>
    <t>Low</t>
  </si>
  <si>
    <t>Mass loss from measurement</t>
  </si>
  <si>
    <t>Mass loss after adjustment from blank test</t>
  </si>
  <si>
    <t>average mass loss for treatments</t>
  </si>
  <si>
    <t>mass of PyOM left</t>
  </si>
  <si>
    <t>original PyOM mass</t>
  </si>
  <si>
    <t>final sample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</si>
</sst>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5EB0-3436-5147-A6F0-BC9B9319EABB}">
  <dimension ref="A1:G46"/>
  <sheetViews>
    <sheetView tabSelected="1" workbookViewId="0">
      <selection activeCell="I3" sqref="I3"/>
    </sheetView>
  </sheetViews>
  <sheetFormatPr baseColWidth="10" defaultRowHeight="16" x14ac:dyDescent="0.2"/>
  <cols>
    <col min="4" max="4" width="18.33203125" customWidth="1"/>
    <col min="5" max="5" width="29.83203125" customWidth="1"/>
    <col min="6" max="6" width="16.5" customWidth="1"/>
    <col min="7" max="7" width="15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21</v>
      </c>
      <c r="E1" t="s">
        <v>19</v>
      </c>
      <c r="F1" t="s">
        <v>20</v>
      </c>
      <c r="G1" t="s">
        <v>22</v>
      </c>
    </row>
    <row r="2" spans="1:7" x14ac:dyDescent="0.2">
      <c r="A2">
        <v>1</v>
      </c>
      <c r="B2" t="s">
        <v>3</v>
      </c>
      <c r="C2" t="s">
        <v>4</v>
      </c>
      <c r="D2">
        <v>1.0019999999999998</v>
      </c>
      <c r="E2">
        <f>4.96/5</f>
        <v>0.99199999999999999</v>
      </c>
      <c r="F2">
        <f>D2-E2</f>
        <v>9.9999999999997868E-3</v>
      </c>
      <c r="G2">
        <v>79.929299999999998</v>
      </c>
    </row>
    <row r="3" spans="1:7" x14ac:dyDescent="0.2">
      <c r="A3">
        <v>2</v>
      </c>
      <c r="B3" t="s">
        <v>3</v>
      </c>
      <c r="C3" t="s">
        <v>4</v>
      </c>
      <c r="D3">
        <v>1</v>
      </c>
      <c r="E3">
        <f t="shared" ref="E3:E6" si="0">4.96/5</f>
        <v>0.99199999999999999</v>
      </c>
      <c r="F3">
        <f t="shared" ref="F3:F46" si="1">D3-E3</f>
        <v>8.0000000000000071E-3</v>
      </c>
      <c r="G3">
        <v>79.936000000000007</v>
      </c>
    </row>
    <row r="4" spans="1:7" x14ac:dyDescent="0.2">
      <c r="A4">
        <v>3</v>
      </c>
      <c r="B4" t="s">
        <v>3</v>
      </c>
      <c r="C4" t="s">
        <v>4</v>
      </c>
      <c r="D4">
        <v>1.0049999999999999</v>
      </c>
      <c r="E4">
        <f t="shared" si="0"/>
        <v>0.99199999999999999</v>
      </c>
      <c r="F4">
        <f t="shared" si="1"/>
        <v>1.2999999999999901E-2</v>
      </c>
      <c r="G4">
        <v>79.946200000000005</v>
      </c>
    </row>
    <row r="5" spans="1:7" x14ac:dyDescent="0.2">
      <c r="A5">
        <v>4</v>
      </c>
      <c r="B5" t="s">
        <v>3</v>
      </c>
      <c r="C5" t="s">
        <v>4</v>
      </c>
      <c r="D5">
        <v>1.0050000000000008</v>
      </c>
      <c r="E5">
        <f t="shared" si="0"/>
        <v>0.99199999999999999</v>
      </c>
      <c r="F5">
        <f t="shared" si="1"/>
        <v>1.3000000000000789E-2</v>
      </c>
      <c r="G5">
        <v>79.942100000000011</v>
      </c>
    </row>
    <row r="6" spans="1:7" x14ac:dyDescent="0.2">
      <c r="A6">
        <v>5</v>
      </c>
      <c r="B6" t="s">
        <v>3</v>
      </c>
      <c r="C6" t="s">
        <v>4</v>
      </c>
      <c r="D6">
        <v>1.0050000000000008</v>
      </c>
      <c r="E6">
        <f t="shared" si="0"/>
        <v>0.99199999999999999</v>
      </c>
      <c r="F6">
        <f t="shared" si="1"/>
        <v>1.3000000000000789E-2</v>
      </c>
      <c r="G6">
        <v>79.913200000000003</v>
      </c>
    </row>
    <row r="7" spans="1:7" x14ac:dyDescent="0.2">
      <c r="A7">
        <v>6</v>
      </c>
      <c r="B7" t="s">
        <v>3</v>
      </c>
      <c r="C7" t="s">
        <v>5</v>
      </c>
      <c r="D7">
        <v>1.0020000000000007</v>
      </c>
      <c r="E7">
        <f>4.94/5</f>
        <v>0.9880000000000001</v>
      </c>
      <c r="F7">
        <f t="shared" si="1"/>
        <v>1.4000000000000568E-2</v>
      </c>
      <c r="G7">
        <v>80.012600000000006</v>
      </c>
    </row>
    <row r="8" spans="1:7" x14ac:dyDescent="0.2">
      <c r="A8">
        <v>7</v>
      </c>
      <c r="B8" t="s">
        <v>3</v>
      </c>
      <c r="C8" t="s">
        <v>5</v>
      </c>
      <c r="D8">
        <v>1.008</v>
      </c>
      <c r="E8">
        <f t="shared" ref="E8:E11" si="2">4.94/5</f>
        <v>0.9880000000000001</v>
      </c>
      <c r="F8">
        <f t="shared" si="1"/>
        <v>1.9999999999999907E-2</v>
      </c>
      <c r="G8">
        <v>80.010799999999989</v>
      </c>
    </row>
    <row r="9" spans="1:7" x14ac:dyDescent="0.2">
      <c r="A9">
        <v>8</v>
      </c>
      <c r="B9" t="s">
        <v>3</v>
      </c>
      <c r="C9" t="s">
        <v>5</v>
      </c>
      <c r="D9">
        <v>1.0039999999999996</v>
      </c>
      <c r="E9">
        <f t="shared" si="2"/>
        <v>0.9880000000000001</v>
      </c>
      <c r="F9">
        <f t="shared" si="1"/>
        <v>1.5999999999999459E-2</v>
      </c>
      <c r="G9">
        <v>80.004800000000003</v>
      </c>
    </row>
    <row r="10" spans="1:7" x14ac:dyDescent="0.2">
      <c r="A10">
        <v>9</v>
      </c>
      <c r="B10" t="s">
        <v>3</v>
      </c>
      <c r="C10" t="s">
        <v>5</v>
      </c>
      <c r="D10">
        <v>1.0070000000000006</v>
      </c>
      <c r="E10">
        <f t="shared" si="2"/>
        <v>0.9880000000000001</v>
      </c>
      <c r="F10">
        <f t="shared" si="1"/>
        <v>1.9000000000000461E-2</v>
      </c>
      <c r="G10">
        <v>80.007899999999992</v>
      </c>
    </row>
    <row r="11" spans="1:7" x14ac:dyDescent="0.2">
      <c r="A11">
        <v>10</v>
      </c>
      <c r="B11" t="s">
        <v>3</v>
      </c>
      <c r="C11" t="s">
        <v>5</v>
      </c>
      <c r="D11">
        <v>0.996999999999999</v>
      </c>
      <c r="E11">
        <f t="shared" si="2"/>
        <v>0.9880000000000001</v>
      </c>
      <c r="F11">
        <f t="shared" si="1"/>
        <v>8.9999999999988978E-3</v>
      </c>
      <c r="G11">
        <v>80.009100000000004</v>
      </c>
    </row>
    <row r="12" spans="1:7" x14ac:dyDescent="0.2">
      <c r="A12">
        <v>11</v>
      </c>
      <c r="B12" t="s">
        <v>3</v>
      </c>
      <c r="C12" t="s">
        <v>6</v>
      </c>
      <c r="D12">
        <v>1.0009999999999994</v>
      </c>
      <c r="E12">
        <f>1.46/5</f>
        <v>0.29199999999999998</v>
      </c>
      <c r="F12">
        <f t="shared" si="1"/>
        <v>0.70899999999999941</v>
      </c>
      <c r="G12">
        <v>80.731799999999993</v>
      </c>
    </row>
    <row r="13" spans="1:7" x14ac:dyDescent="0.2">
      <c r="A13">
        <v>12</v>
      </c>
      <c r="B13" t="s">
        <v>3</v>
      </c>
      <c r="C13" t="s">
        <v>6</v>
      </c>
      <c r="D13">
        <v>0.99699999999999989</v>
      </c>
      <c r="E13">
        <f t="shared" ref="E13:E16" si="3">1.46/5</f>
        <v>0.29199999999999998</v>
      </c>
      <c r="F13">
        <f t="shared" si="1"/>
        <v>0.70499999999999985</v>
      </c>
      <c r="G13">
        <v>80.732599999999991</v>
      </c>
    </row>
    <row r="14" spans="1:7" x14ac:dyDescent="0.2">
      <c r="A14">
        <v>13</v>
      </c>
      <c r="B14" t="s">
        <v>3</v>
      </c>
      <c r="C14" t="s">
        <v>6</v>
      </c>
      <c r="D14">
        <v>1</v>
      </c>
      <c r="E14">
        <f t="shared" si="3"/>
        <v>0.29199999999999998</v>
      </c>
      <c r="F14">
        <f t="shared" si="1"/>
        <v>0.70799999999999996</v>
      </c>
      <c r="G14">
        <v>80.728200000000001</v>
      </c>
    </row>
    <row r="15" spans="1:7" x14ac:dyDescent="0.2">
      <c r="A15">
        <v>14</v>
      </c>
      <c r="B15" t="s">
        <v>3</v>
      </c>
      <c r="C15" t="s">
        <v>6</v>
      </c>
      <c r="D15">
        <v>1.0030000000000001</v>
      </c>
      <c r="E15">
        <f t="shared" si="3"/>
        <v>0.29199999999999998</v>
      </c>
      <c r="F15">
        <f t="shared" si="1"/>
        <v>0.71100000000000008</v>
      </c>
      <c r="G15">
        <v>80.736199999999997</v>
      </c>
    </row>
    <row r="16" spans="1:7" x14ac:dyDescent="0.2">
      <c r="A16">
        <v>15</v>
      </c>
      <c r="B16" t="s">
        <v>3</v>
      </c>
      <c r="C16" t="s">
        <v>6</v>
      </c>
      <c r="D16">
        <v>1</v>
      </c>
      <c r="E16">
        <f t="shared" si="3"/>
        <v>0.29199999999999998</v>
      </c>
      <c r="F16">
        <f t="shared" si="1"/>
        <v>0.70799999999999996</v>
      </c>
      <c r="G16">
        <v>80.7316</v>
      </c>
    </row>
    <row r="17" spans="1:7" x14ac:dyDescent="0.2">
      <c r="A17">
        <v>16</v>
      </c>
      <c r="B17" t="s">
        <v>7</v>
      </c>
      <c r="C17" t="s">
        <v>4</v>
      </c>
      <c r="D17">
        <v>1</v>
      </c>
      <c r="E17">
        <f>4.67/5</f>
        <v>0.93399999999999994</v>
      </c>
      <c r="F17">
        <f t="shared" si="1"/>
        <v>6.6000000000000059E-2</v>
      </c>
      <c r="G17">
        <v>80.059699999999992</v>
      </c>
    </row>
    <row r="18" spans="1:7" x14ac:dyDescent="0.2">
      <c r="A18">
        <v>17</v>
      </c>
      <c r="B18" t="s">
        <v>7</v>
      </c>
      <c r="C18" t="s">
        <v>4</v>
      </c>
      <c r="D18">
        <v>0.99999999999999911</v>
      </c>
      <c r="E18">
        <f t="shared" ref="E18:E21" si="4">4.67/5</f>
        <v>0.93399999999999994</v>
      </c>
      <c r="F18">
        <f t="shared" si="1"/>
        <v>6.599999999999917E-2</v>
      </c>
      <c r="G18">
        <v>80.063900000000004</v>
      </c>
    </row>
    <row r="19" spans="1:7" x14ac:dyDescent="0.2">
      <c r="A19">
        <v>18</v>
      </c>
      <c r="B19" t="s">
        <v>7</v>
      </c>
      <c r="C19" t="s">
        <v>4</v>
      </c>
      <c r="D19">
        <v>0.99900000000000055</v>
      </c>
      <c r="E19">
        <f t="shared" si="4"/>
        <v>0.93399999999999994</v>
      </c>
      <c r="F19">
        <f t="shared" si="1"/>
        <v>6.5000000000000613E-2</v>
      </c>
      <c r="G19">
        <v>80.060400000000001</v>
      </c>
    </row>
    <row r="20" spans="1:7" x14ac:dyDescent="0.2">
      <c r="A20">
        <v>19</v>
      </c>
      <c r="B20" t="s">
        <v>7</v>
      </c>
      <c r="C20" t="s">
        <v>4</v>
      </c>
      <c r="D20">
        <v>0.99899999999999878</v>
      </c>
      <c r="E20">
        <f t="shared" si="4"/>
        <v>0.93399999999999994</v>
      </c>
      <c r="F20">
        <f t="shared" si="1"/>
        <v>6.4999999999998836E-2</v>
      </c>
      <c r="G20">
        <v>80.066699999999997</v>
      </c>
    </row>
    <row r="21" spans="1:7" x14ac:dyDescent="0.2">
      <c r="A21">
        <v>20</v>
      </c>
      <c r="B21" t="s">
        <v>7</v>
      </c>
      <c r="C21" t="s">
        <v>4</v>
      </c>
      <c r="D21">
        <v>0.99599999999999866</v>
      </c>
      <c r="E21">
        <f t="shared" si="4"/>
        <v>0.93399999999999994</v>
      </c>
      <c r="F21">
        <f t="shared" si="1"/>
        <v>6.1999999999998723E-2</v>
      </c>
      <c r="G21">
        <v>80.064899999999994</v>
      </c>
    </row>
    <row r="22" spans="1:7" x14ac:dyDescent="0.2">
      <c r="A22">
        <v>21</v>
      </c>
      <c r="B22" t="s">
        <v>7</v>
      </c>
      <c r="C22" t="s">
        <v>5</v>
      </c>
      <c r="D22">
        <v>1.0030000000000001</v>
      </c>
      <c r="E22">
        <f>2.39/5</f>
        <v>0.47800000000000004</v>
      </c>
      <c r="F22">
        <f t="shared" si="1"/>
        <v>0.52500000000000013</v>
      </c>
      <c r="G22">
        <v>80.582099999999997</v>
      </c>
    </row>
    <row r="23" spans="1:7" x14ac:dyDescent="0.2">
      <c r="A23">
        <v>22</v>
      </c>
      <c r="B23" t="s">
        <v>7</v>
      </c>
      <c r="C23" t="s">
        <v>5</v>
      </c>
      <c r="D23">
        <v>1.0019999999999998</v>
      </c>
      <c r="E23">
        <f t="shared" ref="E23:E26" si="5">2.39/5</f>
        <v>0.47800000000000004</v>
      </c>
      <c r="F23">
        <f t="shared" si="1"/>
        <v>0.5239999999999998</v>
      </c>
      <c r="G23">
        <v>80.572600000000008</v>
      </c>
    </row>
    <row r="24" spans="1:7" x14ac:dyDescent="0.2">
      <c r="A24">
        <v>23</v>
      </c>
      <c r="B24" t="s">
        <v>7</v>
      </c>
      <c r="C24" t="s">
        <v>5</v>
      </c>
      <c r="D24">
        <v>1.0050000000000008</v>
      </c>
      <c r="E24">
        <f t="shared" si="5"/>
        <v>0.47800000000000004</v>
      </c>
      <c r="F24">
        <f t="shared" si="1"/>
        <v>0.5270000000000008</v>
      </c>
      <c r="G24">
        <v>80.584500000000006</v>
      </c>
    </row>
    <row r="25" spans="1:7" x14ac:dyDescent="0.2">
      <c r="A25">
        <v>24</v>
      </c>
      <c r="B25" t="s">
        <v>7</v>
      </c>
      <c r="C25" t="s">
        <v>5</v>
      </c>
      <c r="D25">
        <v>1.0010000000000003</v>
      </c>
      <c r="E25">
        <f t="shared" si="5"/>
        <v>0.47800000000000004</v>
      </c>
      <c r="F25">
        <f t="shared" si="1"/>
        <v>0.52300000000000035</v>
      </c>
      <c r="G25">
        <v>80.572599999999994</v>
      </c>
    </row>
    <row r="26" spans="1:7" x14ac:dyDescent="0.2">
      <c r="A26">
        <v>25</v>
      </c>
      <c r="B26" t="s">
        <v>7</v>
      </c>
      <c r="C26" t="s">
        <v>5</v>
      </c>
      <c r="D26">
        <v>0.99699999999999989</v>
      </c>
      <c r="E26">
        <f t="shared" si="5"/>
        <v>0.47800000000000004</v>
      </c>
      <c r="F26">
        <f t="shared" si="1"/>
        <v>0.51899999999999991</v>
      </c>
      <c r="G26">
        <v>80.5715</v>
      </c>
    </row>
    <row r="27" spans="1:7" x14ac:dyDescent="0.2">
      <c r="A27">
        <v>26</v>
      </c>
      <c r="B27" t="s">
        <v>7</v>
      </c>
      <c r="C27" t="s">
        <v>6</v>
      </c>
      <c r="D27">
        <v>1</v>
      </c>
      <c r="E27">
        <f>0.33/5</f>
        <v>6.6000000000000003E-2</v>
      </c>
      <c r="F27">
        <f t="shared" si="1"/>
        <v>0.93399999999999994</v>
      </c>
      <c r="G27">
        <v>80.953499999999991</v>
      </c>
    </row>
    <row r="28" spans="1:7" x14ac:dyDescent="0.2">
      <c r="A28">
        <v>27</v>
      </c>
      <c r="B28" t="s">
        <v>7</v>
      </c>
      <c r="C28" t="s">
        <v>6</v>
      </c>
      <c r="D28">
        <v>0.99800000000000022</v>
      </c>
      <c r="E28">
        <f t="shared" ref="E28:E31" si="6">0.33/5</f>
        <v>6.6000000000000003E-2</v>
      </c>
      <c r="F28">
        <f t="shared" si="1"/>
        <v>0.93200000000000016</v>
      </c>
      <c r="G28">
        <v>80.936099999999996</v>
      </c>
    </row>
    <row r="29" spans="1:7" x14ac:dyDescent="0.2">
      <c r="A29">
        <v>28</v>
      </c>
      <c r="B29" t="s">
        <v>7</v>
      </c>
      <c r="C29" t="s">
        <v>6</v>
      </c>
      <c r="D29">
        <v>0.99900000000000055</v>
      </c>
      <c r="E29">
        <f t="shared" si="6"/>
        <v>6.6000000000000003E-2</v>
      </c>
      <c r="F29">
        <f t="shared" si="1"/>
        <v>0.9330000000000005</v>
      </c>
      <c r="G29">
        <v>80.9435</v>
      </c>
    </row>
    <row r="30" spans="1:7" x14ac:dyDescent="0.2">
      <c r="A30">
        <v>29</v>
      </c>
      <c r="B30" t="s">
        <v>7</v>
      </c>
      <c r="C30" t="s">
        <v>6</v>
      </c>
      <c r="D30">
        <v>0.99900000000000055</v>
      </c>
      <c r="E30">
        <f t="shared" si="6"/>
        <v>6.6000000000000003E-2</v>
      </c>
      <c r="F30">
        <f t="shared" si="1"/>
        <v>0.9330000000000005</v>
      </c>
      <c r="G30">
        <v>80.952399999999997</v>
      </c>
    </row>
    <row r="31" spans="1:7" x14ac:dyDescent="0.2">
      <c r="A31">
        <v>30</v>
      </c>
      <c r="B31" t="s">
        <v>7</v>
      </c>
      <c r="C31" t="s">
        <v>6</v>
      </c>
      <c r="D31">
        <v>1.0009999999999994</v>
      </c>
      <c r="E31">
        <f t="shared" si="6"/>
        <v>6.6000000000000003E-2</v>
      </c>
      <c r="F31">
        <f t="shared" si="1"/>
        <v>0.93499999999999939</v>
      </c>
      <c r="G31">
        <v>80.951300000000003</v>
      </c>
    </row>
    <row r="32" spans="1:7" x14ac:dyDescent="0.2">
      <c r="A32">
        <v>31</v>
      </c>
      <c r="B32" t="s">
        <v>8</v>
      </c>
      <c r="C32" t="s">
        <v>4</v>
      </c>
      <c r="D32">
        <v>1.0009999999999994</v>
      </c>
      <c r="E32">
        <v>0</v>
      </c>
      <c r="F32">
        <f t="shared" si="1"/>
        <v>1.0009999999999994</v>
      </c>
      <c r="G32">
        <v>80.990400000000008</v>
      </c>
    </row>
    <row r="33" spans="1:7" x14ac:dyDescent="0.2">
      <c r="A33">
        <v>32</v>
      </c>
      <c r="B33" t="s">
        <v>8</v>
      </c>
      <c r="C33" t="s">
        <v>4</v>
      </c>
      <c r="D33">
        <v>1.0069999999999997</v>
      </c>
      <c r="E33">
        <v>0</v>
      </c>
      <c r="F33">
        <f t="shared" si="1"/>
        <v>1.0069999999999997</v>
      </c>
      <c r="G33">
        <v>80.995699999999999</v>
      </c>
    </row>
    <row r="34" spans="1:7" x14ac:dyDescent="0.2">
      <c r="A34">
        <v>33</v>
      </c>
      <c r="B34" t="s">
        <v>8</v>
      </c>
      <c r="C34" t="s">
        <v>4</v>
      </c>
      <c r="D34">
        <v>1.0019999999999998</v>
      </c>
      <c r="E34">
        <v>0</v>
      </c>
      <c r="F34">
        <f t="shared" si="1"/>
        <v>1.0019999999999998</v>
      </c>
      <c r="G34">
        <v>80.993700000000004</v>
      </c>
    </row>
    <row r="35" spans="1:7" x14ac:dyDescent="0.2">
      <c r="A35">
        <v>34</v>
      </c>
      <c r="B35" t="s">
        <v>8</v>
      </c>
      <c r="C35" t="s">
        <v>4</v>
      </c>
      <c r="D35">
        <v>1.0049999999999999</v>
      </c>
      <c r="E35">
        <v>0</v>
      </c>
      <c r="F35">
        <f t="shared" si="1"/>
        <v>1.0049999999999999</v>
      </c>
      <c r="G35">
        <v>80.986999999999995</v>
      </c>
    </row>
    <row r="36" spans="1:7" x14ac:dyDescent="0.2">
      <c r="A36">
        <v>35</v>
      </c>
      <c r="B36" t="s">
        <v>8</v>
      </c>
      <c r="C36" t="s">
        <v>4</v>
      </c>
      <c r="D36">
        <v>0.99899999999999967</v>
      </c>
      <c r="E36">
        <v>0</v>
      </c>
      <c r="F36">
        <f t="shared" si="1"/>
        <v>0.99899999999999967</v>
      </c>
      <c r="G36">
        <v>80.987899999999996</v>
      </c>
    </row>
    <row r="37" spans="1:7" x14ac:dyDescent="0.2">
      <c r="A37">
        <v>36</v>
      </c>
      <c r="B37" t="s">
        <v>8</v>
      </c>
      <c r="C37" t="s">
        <v>5</v>
      </c>
      <c r="D37">
        <v>1.004999999999999</v>
      </c>
      <c r="E37">
        <v>0</v>
      </c>
      <c r="F37">
        <f t="shared" si="1"/>
        <v>1.004999999999999</v>
      </c>
      <c r="G37">
        <v>80.995900000000006</v>
      </c>
    </row>
    <row r="38" spans="1:7" x14ac:dyDescent="0.2">
      <c r="A38">
        <v>37</v>
      </c>
      <c r="B38" t="s">
        <v>8</v>
      </c>
      <c r="C38" t="s">
        <v>5</v>
      </c>
      <c r="D38">
        <v>1.0030000000000001</v>
      </c>
      <c r="E38">
        <v>0</v>
      </c>
      <c r="F38">
        <f t="shared" si="1"/>
        <v>1.0030000000000001</v>
      </c>
      <c r="G38">
        <v>80.995399999999989</v>
      </c>
    </row>
    <row r="39" spans="1:7" x14ac:dyDescent="0.2">
      <c r="A39">
        <v>38</v>
      </c>
      <c r="B39" t="s">
        <v>8</v>
      </c>
      <c r="C39" t="s">
        <v>5</v>
      </c>
      <c r="D39">
        <v>1.0030000000000001</v>
      </c>
      <c r="E39">
        <v>0</v>
      </c>
      <c r="F39">
        <f t="shared" si="1"/>
        <v>1.0030000000000001</v>
      </c>
      <c r="G39">
        <v>80.989199999999997</v>
      </c>
    </row>
    <row r="40" spans="1:7" x14ac:dyDescent="0.2">
      <c r="A40">
        <v>39</v>
      </c>
      <c r="B40" t="s">
        <v>8</v>
      </c>
      <c r="C40" t="s">
        <v>5</v>
      </c>
      <c r="D40">
        <v>0.99900000000000055</v>
      </c>
      <c r="E40">
        <v>0</v>
      </c>
      <c r="F40">
        <f t="shared" si="1"/>
        <v>0.99900000000000055</v>
      </c>
      <c r="G40">
        <v>80.985600000000005</v>
      </c>
    </row>
    <row r="41" spans="1:7" x14ac:dyDescent="0.2">
      <c r="A41">
        <v>40</v>
      </c>
      <c r="B41" t="s">
        <v>8</v>
      </c>
      <c r="C41" t="s">
        <v>5</v>
      </c>
      <c r="D41">
        <v>0.99600000000000044</v>
      </c>
      <c r="E41">
        <v>0</v>
      </c>
      <c r="F41">
        <f t="shared" si="1"/>
        <v>0.99600000000000044</v>
      </c>
      <c r="G41">
        <v>80.987300000000005</v>
      </c>
    </row>
    <row r="42" spans="1:7" x14ac:dyDescent="0.2">
      <c r="A42">
        <v>41</v>
      </c>
      <c r="B42" t="s">
        <v>8</v>
      </c>
      <c r="C42" t="s">
        <v>6</v>
      </c>
      <c r="D42">
        <v>1.0019999999999998</v>
      </c>
      <c r="E42">
        <v>0</v>
      </c>
      <c r="F42">
        <f>D42-E42</f>
        <v>1.0019999999999998</v>
      </c>
      <c r="G42">
        <v>80.998900000000006</v>
      </c>
    </row>
    <row r="43" spans="1:7" x14ac:dyDescent="0.2">
      <c r="A43">
        <v>42</v>
      </c>
      <c r="B43" t="s">
        <v>8</v>
      </c>
      <c r="C43" t="s">
        <v>6</v>
      </c>
      <c r="D43">
        <v>1</v>
      </c>
      <c r="E43">
        <v>0</v>
      </c>
      <c r="F43">
        <f t="shared" si="1"/>
        <v>1</v>
      </c>
      <c r="G43">
        <v>81.004900000000006</v>
      </c>
    </row>
    <row r="44" spans="1:7" x14ac:dyDescent="0.2">
      <c r="A44">
        <v>43</v>
      </c>
      <c r="B44" t="s">
        <v>8</v>
      </c>
      <c r="C44" t="s">
        <v>6</v>
      </c>
      <c r="D44">
        <v>0.99899999999999878</v>
      </c>
      <c r="E44">
        <v>0</v>
      </c>
      <c r="F44">
        <f t="shared" si="1"/>
        <v>0.99899999999999878</v>
      </c>
      <c r="G44">
        <v>81.007199999999997</v>
      </c>
    </row>
    <row r="45" spans="1:7" x14ac:dyDescent="0.2">
      <c r="A45">
        <v>44</v>
      </c>
      <c r="B45" t="s">
        <v>8</v>
      </c>
      <c r="C45" t="s">
        <v>6</v>
      </c>
      <c r="D45">
        <v>0.99900000000000055</v>
      </c>
      <c r="E45">
        <v>0</v>
      </c>
      <c r="F45">
        <f t="shared" si="1"/>
        <v>0.99900000000000055</v>
      </c>
      <c r="G45">
        <v>81.001199999999997</v>
      </c>
    </row>
    <row r="46" spans="1:7" x14ac:dyDescent="0.2">
      <c r="A46">
        <v>45</v>
      </c>
      <c r="B46" t="s">
        <v>8</v>
      </c>
      <c r="C46" t="s">
        <v>6</v>
      </c>
      <c r="D46">
        <v>0.99999999999999911</v>
      </c>
      <c r="E46">
        <v>0</v>
      </c>
      <c r="F46">
        <f t="shared" si="1"/>
        <v>0.99999999999999911</v>
      </c>
      <c r="G46">
        <v>81.003299999999996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0453-978A-9743-B31D-19716EF6B14A}">
  <dimension ref="A1:E17"/>
  <sheetViews>
    <sheetView workbookViewId="0">
      <selection activeCell="D17" sqref="D17"/>
    </sheetView>
  </sheetViews>
  <sheetFormatPr baseColWidth="10" defaultRowHeight="16" x14ac:dyDescent="0.2"/>
  <sheetData>
    <row r="1" spans="1:5" x14ac:dyDescent="0.2">
      <c r="A1" t="s">
        <v>17</v>
      </c>
    </row>
    <row r="2" spans="1:5" x14ac:dyDescent="0.2">
      <c r="A2" t="s">
        <v>1</v>
      </c>
      <c r="B2" t="s">
        <v>2</v>
      </c>
      <c r="C2" t="s">
        <v>9</v>
      </c>
      <c r="D2" t="s">
        <v>10</v>
      </c>
      <c r="E2" t="s">
        <v>11</v>
      </c>
    </row>
    <row r="3" spans="1:5" x14ac:dyDescent="0.2">
      <c r="A3" t="s">
        <v>12</v>
      </c>
      <c r="B3" t="s">
        <v>13</v>
      </c>
      <c r="C3">
        <v>5.0170000000000012</v>
      </c>
      <c r="D3">
        <v>5.07</v>
      </c>
      <c r="E3" s="1">
        <v>1</v>
      </c>
    </row>
    <row r="4" spans="1:5" x14ac:dyDescent="0.2">
      <c r="A4" t="s">
        <v>12</v>
      </c>
      <c r="B4" t="s">
        <v>14</v>
      </c>
      <c r="C4">
        <v>5.0179999999999998</v>
      </c>
      <c r="D4">
        <v>5.05</v>
      </c>
      <c r="E4" s="1">
        <v>1</v>
      </c>
    </row>
    <row r="5" spans="1:5" x14ac:dyDescent="0.2">
      <c r="A5" t="s">
        <v>12</v>
      </c>
      <c r="B5" t="s">
        <v>15</v>
      </c>
      <c r="C5">
        <v>5.0009999999999994</v>
      </c>
      <c r="D5">
        <v>1.57</v>
      </c>
      <c r="E5" s="1">
        <v>0.31393721255748858</v>
      </c>
    </row>
    <row r="6" spans="1:5" x14ac:dyDescent="0.2">
      <c r="A6" t="s">
        <v>16</v>
      </c>
      <c r="B6" t="s">
        <v>13</v>
      </c>
      <c r="C6">
        <v>4.9939999999999971</v>
      </c>
      <c r="D6">
        <v>4.74</v>
      </c>
      <c r="E6" s="1">
        <v>0.94913896676011278</v>
      </c>
    </row>
    <row r="7" spans="1:5" x14ac:dyDescent="0.2">
      <c r="A7" t="s">
        <v>16</v>
      </c>
      <c r="B7" t="s">
        <v>14</v>
      </c>
      <c r="C7">
        <v>5.0080000000000009</v>
      </c>
      <c r="D7">
        <v>2.46</v>
      </c>
      <c r="E7" s="1">
        <v>0.49121405750798713</v>
      </c>
    </row>
    <row r="8" spans="1:5" x14ac:dyDescent="0.2">
      <c r="A8" t="s">
        <v>16</v>
      </c>
      <c r="B8" t="s">
        <v>15</v>
      </c>
      <c r="C8">
        <v>4.9970000000000008</v>
      </c>
      <c r="D8">
        <v>0.4</v>
      </c>
      <c r="E8" s="1">
        <v>8.0048028817290368E-2</v>
      </c>
    </row>
    <row r="10" spans="1:5" x14ac:dyDescent="0.2">
      <c r="A10" t="s">
        <v>18</v>
      </c>
    </row>
    <row r="11" spans="1:5" x14ac:dyDescent="0.2">
      <c r="A11" t="s">
        <v>1</v>
      </c>
      <c r="B11" t="s">
        <v>2</v>
      </c>
      <c r="C11" t="s">
        <v>9</v>
      </c>
      <c r="D11" t="s">
        <v>10</v>
      </c>
      <c r="E11" t="s">
        <v>11</v>
      </c>
    </row>
    <row r="12" spans="1:5" x14ac:dyDescent="0.2">
      <c r="A12" t="s">
        <v>12</v>
      </c>
      <c r="B12" t="s">
        <v>13</v>
      </c>
      <c r="C12">
        <v>5.0170000000000012</v>
      </c>
      <c r="D12">
        <v>4.96</v>
      </c>
      <c r="E12" s="1">
        <v>0.98863862866254704</v>
      </c>
    </row>
    <row r="13" spans="1:5" x14ac:dyDescent="0.2">
      <c r="A13" t="s">
        <v>12</v>
      </c>
      <c r="B13" t="s">
        <v>14</v>
      </c>
      <c r="C13">
        <v>5.0179999999999998</v>
      </c>
      <c r="D13">
        <v>4.9399999999999995</v>
      </c>
      <c r="E13" s="1">
        <v>0.98445595854922274</v>
      </c>
    </row>
    <row r="14" spans="1:5" x14ac:dyDescent="0.2">
      <c r="A14" t="s">
        <v>12</v>
      </c>
      <c r="B14" t="s">
        <v>15</v>
      </c>
      <c r="C14">
        <v>5.0009999999999994</v>
      </c>
      <c r="D14">
        <v>1.46</v>
      </c>
      <c r="E14" s="1">
        <v>0.29194161167766447</v>
      </c>
    </row>
    <row r="15" spans="1:5" x14ac:dyDescent="0.2">
      <c r="A15" t="s">
        <v>16</v>
      </c>
      <c r="B15" t="s">
        <v>13</v>
      </c>
      <c r="C15">
        <v>4.9939999999999971</v>
      </c>
      <c r="D15">
        <v>4.67</v>
      </c>
      <c r="E15" s="1">
        <v>0.93512214657589154</v>
      </c>
    </row>
    <row r="16" spans="1:5" x14ac:dyDescent="0.2">
      <c r="A16" t="s">
        <v>16</v>
      </c>
      <c r="B16" t="s">
        <v>14</v>
      </c>
      <c r="C16">
        <v>5.0080000000000009</v>
      </c>
      <c r="D16">
        <v>2.39</v>
      </c>
      <c r="E16" s="1">
        <v>0.47723642172523956</v>
      </c>
    </row>
    <row r="17" spans="1:5" x14ac:dyDescent="0.2">
      <c r="A17" t="s">
        <v>16</v>
      </c>
      <c r="B17" t="s">
        <v>15</v>
      </c>
      <c r="C17">
        <v>4.9970000000000008</v>
      </c>
      <c r="D17">
        <v>0.33</v>
      </c>
      <c r="E17" s="1">
        <v>6.6039623774264547E-2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MENGMENG LUO</cp:lastModifiedBy>
  <dcterms:created xsi:type="dcterms:W3CDTF">2022-10-06T19:31:48Z</dcterms:created>
  <dcterms:modified xsi:type="dcterms:W3CDTF">2025-02-25T19:55:38Z</dcterms:modified>
</cp:coreProperties>
</file>